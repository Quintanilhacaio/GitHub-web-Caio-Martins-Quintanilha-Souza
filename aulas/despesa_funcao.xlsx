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6E1511D-3CF1-45D4-8410-51C3053BABDC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Planilha2" sheetId="3" r:id="rId2"/>
    <sheet name="Planilha1" sheetId="2" r:id="rId3"/>
  </sheets>
  <calcPr calcId="0"/>
  <pivotCaches>
    <pivotCache cacheId="7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<sst xmlns="http://schemas.openxmlformats.org/spreadsheetml/2006/main" count="2707" uniqueCount="568">
  <si>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</si>
  <si>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</si>
  <si>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</si>
  <si>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</si>
  <si>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</si>
  <si>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</si>
  <si>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</si>
  <si>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</si>
  <si>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</si>
  <si>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</si>
  <si>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</si>
  <si>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</si>
  <si>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</si>
  <si>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</si>
  <si>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</si>
  <si>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</si>
  <si>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</si>
  <si>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</si>
  <si>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</si>
  <si>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</si>
  <si>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</si>
  <si>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</si>
  <si>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</si>
  <si>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</si>
  <si>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</si>
  <si>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</si>
  <si>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</si>
  <si>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</si>
  <si>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</si>
  <si>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</si>
  <si>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</si>
  <si>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</si>
  <si>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</si>
  <si>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</si>
  <si>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</si>
  <si>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</si>
  <si>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</si>
  <si>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</si>
  <si>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</si>
  <si>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</si>
  <si>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</si>
  <si>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</si>
  <si>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</si>
  <si>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</si>
  <si>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</si>
  <si>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</si>
  <si>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</si>
  <si>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</si>
  <si>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</si>
  <si>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</si>
  <si>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</si>
  <si>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</si>
  <si>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</si>
  <si>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</si>
  <si>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</si>
  <si>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</si>
  <si>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</si>
  <si>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</si>
  <si>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</si>
  <si>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</si>
  <si>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</si>
  <si>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</si>
  <si>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</si>
  <si>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</si>
  <si>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</si>
  <si>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</si>
  <si>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</si>
  <si>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</si>
  <si>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</si>
  <si>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</si>
  <si>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</si>
  <si>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</si>
  <si>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</si>
  <si>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</si>
  <si>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</si>
  <si>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</si>
  <si>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</si>
  <si>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</si>
  <si>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</si>
  <si>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</si>
  <si>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</si>
  <si>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</si>
  <si>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</si>
  <si>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</si>
  <si>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</si>
  <si>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</si>
  <si>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</si>
  <si>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</si>
  <si>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</si>
  <si>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</si>
  <si>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</si>
  <si>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</si>
  <si>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</si>
  <si>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</si>
  <si>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</si>
  <si>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</si>
  <si>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</si>
  <si>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</si>
  <si>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</si>
  <si>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</si>
  <si>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</si>
  <si>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</si>
  <si>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</si>
  <si>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</si>
  <si>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</si>
  <si>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</si>
  <si>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</si>
  <si>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</si>
  <si>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</si>
  <si>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</si>
  <si>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</si>
  <si>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</si>
  <si>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</si>
  <si>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</si>
  <si>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</si>
  <si>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</si>
  <si>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</si>
  <si>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</si>
  <si>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</si>
  <si>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</si>
  <si>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</si>
  <si>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</si>
  <si>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</si>
  <si>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</si>
  <si>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</si>
  <si>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</si>
  <si>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</si>
  <si>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</si>
  <si>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</si>
  <si>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</si>
  <si>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</si>
  <si>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</si>
  <si>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</si>
  <si>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</si>
  <si>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</si>
  <si>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</si>
  <si>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</si>
  <si>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</si>
  <si>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</si>
  <si>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</si>
  <si>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</si>
  <si>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</si>
  <si>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</si>
  <si>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</si>
  <si>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</si>
  <si>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</si>
  <si>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</si>
  <si>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</si>
  <si>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</si>
  <si>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</si>
  <si>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</si>
  <si>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</si>
  <si>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</si>
  <si>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</si>
  <si>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</si>
  <si>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</si>
  <si>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</si>
  <si>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</si>
  <si>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</si>
  <si>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</si>
  <si>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</si>
  <si>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</si>
  <si>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</si>
  <si>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</si>
  <si>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</si>
  <si>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</si>
  <si>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</si>
  <si>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</si>
  <si>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</si>
  <si>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</si>
  <si>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</si>
  <si>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</si>
  <si>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</si>
  <si>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</si>
  <si>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</si>
  <si>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</si>
  <si>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</si>
  <si>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</si>
  <si>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</si>
  <si>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</si>
  <si>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</si>
  <si>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</si>
  <si>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</si>
  <si>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</si>
  <si>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</si>
  <si>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</si>
  <si>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</si>
  <si>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</si>
  <si>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</si>
  <si>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</si>
  <si>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</si>
  <si>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</si>
  <si>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</si>
  <si>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</si>
  <si>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</si>
  <si>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</si>
  <si>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</si>
  <si>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</si>
  <si>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</si>
  <si>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</si>
  <si>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</si>
  <si>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</si>
  <si>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</si>
  <si>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</si>
  <si>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</si>
  <si>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</si>
  <si>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</si>
  <si>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</si>
  <si>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</si>
  <si>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</si>
  <si>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</si>
  <si>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</si>
  <si>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</si>
  <si>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</si>
  <si>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</si>
  <si>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</si>
  <si>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</si>
  <si>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</si>
  <si>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</si>
  <si>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</si>
  <si>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</si>
  <si>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</si>
  <si>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</si>
  <si>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</si>
  <si>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</si>
  <si>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</si>
  <si>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</si>
  <si>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</si>
  <si>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</si>
  <si>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</si>
  <si>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</si>
  <si>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</si>
  <si>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</si>
  <si>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</si>
  <si>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</si>
  <si>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</si>
  <si>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</si>
  <si>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</si>
  <si>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</si>
  <si>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</si>
  <si>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</si>
  <si>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</si>
  <si>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</si>
  <si>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</si>
  <si>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</si>
  <si>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</si>
  <si>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</si>
  <si>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</si>
  <si>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</si>
  <si>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</si>
  <si>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</si>
  <si>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</si>
  <si>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</si>
  <si>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</si>
  <si>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</si>
  <si>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</si>
  <si>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</si>
  <si>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</si>
  <si>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</si>
  <si>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</si>
  <si>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</si>
  <si>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</si>
  <si>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</si>
  <si>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</si>
  <si>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</si>
  <si>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</si>
  <si>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</si>
  <si>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</si>
  <si>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</si>
  <si>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</si>
  <si>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</si>
  <si>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</si>
  <si>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</si>
  <si>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</si>
  <si>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</si>
  <si>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</si>
  <si>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</si>
  <si>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</si>
  <si>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</si>
  <si>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</si>
  <si>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</si>
  <si>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</si>
  <si>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</si>
  <si>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</si>
  <si>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</si>
  <si>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</si>
  <si>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</si>
  <si>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</si>
  <si>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</si>
  <si>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</si>
  <si>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</si>
  <si>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</si>
  <si>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</si>
  <si>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</si>
  <si>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</si>
  <si>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</si>
  <si>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</si>
  <si>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</si>
  <si>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</si>
  <si>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</si>
  <si>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</si>
  <si>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</si>
  <si>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</si>
  <si>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</si>
  <si>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</si>
  <si>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</si>
  <si>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</si>
  <si>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</si>
  <si>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</si>
  <si>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</si>
  <si>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</si>
  <si>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</si>
  <si>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</si>
  <si>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</si>
  <si>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</si>
  <si>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</si>
  <si>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</si>
  <si>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</si>
  <si>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</si>
  <si>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</si>
  <si>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</si>
  <si>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</si>
  <si>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</si>
  <si>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</si>
  <si>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</si>
  <si>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</si>
  <si>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</si>
  <si>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</si>
  <si>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</si>
  <si>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</si>
  <si>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</si>
  <si>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</si>
  <si>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</si>
  <si>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</si>
  <si>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</si>
  <si>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</si>
  <si>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</si>
  <si>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</si>
  <si>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</si>
  <si>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</si>
  <si>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</si>
  <si>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</si>
  <si>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</si>
  <si>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</si>
  <si>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</si>
  <si>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</si>
  <si>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</si>
  <si>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</si>
  <si>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</si>
  <si>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</si>
  <si>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</si>
  <si>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</si>
  <si>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</si>
  <si>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</si>
  <si>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</si>
  <si>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</si>
  <si>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</si>
  <si>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</si>
  <si>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</si>
  <si>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</si>
  <si>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</si>
  <si>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</si>
  <si>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</si>
  <si>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</si>
  <si>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</si>
  <si>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</si>
  <si>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</si>
  <si>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</si>
  <si>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</si>
  <si>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</si>
  <si>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</si>
  <si>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</si>
  <si>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</si>
  <si>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</si>
  <si>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</si>
  <si>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</si>
  <si>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</si>
  <si>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</si>
  <si>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</si>
  <si>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</si>
  <si>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</si>
  <si>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</si>
  <si>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</si>
  <si>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</si>
  <si>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</si>
  <si>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</si>
  <si>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</si>
  <si>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</si>
  <si>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</si>
  <si>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</si>
  <si>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</si>
  <si>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</si>
  <si>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</si>
  <si>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</si>
  <si>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</si>
  <si>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</si>
  <si>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</si>
  <si>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</si>
  <si>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</si>
  <si>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</si>
  <si>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</si>
  <si>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</si>
  <si>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</si>
  <si>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</si>
  <si>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</si>
  <si>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</si>
  <si>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</si>
  <si>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</si>
  <si>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</si>
  <si>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</si>
  <si>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</si>
  <si>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</si>
  <si>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</si>
  <si>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</si>
  <si>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</si>
  <si>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</si>
  <si>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</si>
  <si>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</si>
  <si>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</si>
  <si>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</si>
  <si>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</si>
  <si>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</si>
  <si>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</si>
  <si>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</si>
  <si>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</si>
  <si>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</si>
  <si>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</si>
  <si>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</si>
  <si>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</si>
  <si>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</si>
  <si>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</si>
  <si>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</si>
  <si>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</si>
  <si>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</si>
  <si>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</si>
  <si>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</si>
  <si>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</si>
  <si>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</si>
  <si>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</si>
  <si>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</si>
  <si>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</si>
  <si>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</si>
  <si>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</si>
  <si>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</si>
  <si>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</si>
  <si>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</si>
  <si>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</si>
  <si>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</si>
  <si>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</si>
  <si>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</si>
  <si>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</si>
  <si>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</si>
  <si>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</si>
  <si>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</si>
  <si>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</si>
  <si>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</si>
  <si>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</si>
  <si>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</si>
  <si>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</si>
  <si>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</si>
  <si>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</si>
  <si>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</si>
  <si>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</si>
  <si>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</si>
  <si>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</si>
  <si>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</si>
  <si>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</si>
  <si>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</si>
  <si>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</si>
  <si>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</si>
  <si>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</si>
  <si>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</si>
  <si>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</si>
  <si>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</si>
  <si>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</si>
  <si>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</si>
  <si>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</si>
  <si>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</si>
  <si>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</si>
  <si>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</si>
  <si>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</si>
  <si>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</si>
  <si>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</si>
  <si>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</si>
  <si>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</si>
  <si>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</si>
  <si>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</si>
  <si>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</si>
  <si>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</si>
  <si>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</si>
  <si>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</si>
  <si>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</si>
  <si>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</si>
  <si>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</si>
  <si>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</si>
  <si>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</si>
  <si>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</si>
  <si>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</si>
  <si>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</si>
  <si>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</si>
  <si>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</si>
  <si>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</si>
  <si>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</si>
  <si>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</si>
  <si>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</si>
  <si>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</si>
  <si>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</si>
  <si>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</si>
  <si>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</si>
  <si>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</si>
  <si>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</si>
  <si>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</si>
  <si>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</si>
  <si>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</si>
  <si>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</si>
  <si>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</si>
  <si>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</si>
  <si>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</si>
  <si>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</si>
  <si>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</si>
  <si>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</si>
  <si>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</si>
  <si>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</si>
  <si>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</si>
  <si>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</si>
  <si>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</si>
  <si>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</si>
  <si>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</si>
  <si>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</si>
  <si>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</si>
  <si>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</si>
  <si>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</si>
  <si>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</si>
  <si>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</si>
  <si>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</si>
  <si>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</si>
  <si>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</si>
  <si>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</si>
  <si>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</si>
  <si>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</si>
  <si>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</si>
  <si>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</si>
  <si>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</si>
  <si>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</si>
  <si>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</si>
  <si>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</si>
  <si>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</si>
  <si>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</si>
  <si>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</si>
  <si>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</si>
  <si>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</si>
  <si>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</si>
  <si>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</si>
  <si>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</si>
  <si>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</si>
  <si>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</si>
  <si>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</si>
  <si>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</si>
  <si>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</si>
  <si>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</si>
  <si>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</si>
  <si>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</si>
  <si>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</si>
  <si>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gastos de Fevereiro/2026</t>
  </si>
  <si>
    <t>total de itens pagos</t>
  </si>
  <si>
    <t>Soma de total de gastos de Fevereiro/2026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</si>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</sst>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44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">
    <dxf>
      <numFmt numFmtId="0" formatCode="General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[despesa_funcao.xlsx]Planilha2!Tabela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2-446E-9641-C12B7EC50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7143920"/>
        <c:axId val="688841296"/>
      </c:barChart>
      <c:catAx>
        <c:axId val="81714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8841296"/>
        <c:crosses val="autoZero"/>
        <c:auto val="1"/>
        <c:lblAlgn val="ctr"/>
        <c:lblOffset val="100"/>
        <c:noMultiLvlLbl val="0"/>
      </c:catAx>
      <c:valAx>
        <c:axId val="6888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71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123825</xdr:rowOff>
    </xdr:from>
    <xdr:to>
      <xdr:col>16</xdr:col>
      <xdr:colOff>152399</xdr:colOff>
      <xdr:row>23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FEDF8B-80D7-4168-A28E-80B387DEC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3.935227430557" createdVersion="6" refreshedVersion="6" minRefreshableVersion="3" recordCount="16">
  <cacheSource type="worksheet">
    <worksheetSource name="Tabela12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de gastos de Fevereiro/2026" numFmtId="44">
      <sharedItems containsSemiMixedTypes="0" containsString="0" containsNumber="1" minValue="67673.06" maxValue="97415941.840000004"/>
    </cacheField>
    <cacheField name="total de itens pagos" numFmtId="0">
      <sharedItems containsSemiMixedTypes="0" containsString="0" containsNumber="1" containsInteger="1" minValue="1" maxValue="115" count="12">
        <n v="1"/>
        <n v="21"/>
        <n v="16"/>
        <n v="13"/>
        <n v="88"/>
        <n v="23"/>
        <n v="25"/>
        <n v="15"/>
        <n v="115"/>
        <n v="22"/>
        <n v="14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x v="0"/>
  </r>
  <r>
    <x v="1"/>
    <n v="3049447.7499999995"/>
    <x v="1"/>
  </r>
  <r>
    <x v="2"/>
    <n v="1182770.0299999998"/>
    <x v="2"/>
  </r>
  <r>
    <x v="3"/>
    <n v="8665883.370000001"/>
    <x v="2"/>
  </r>
  <r>
    <x v="4"/>
    <n v="1644914.53"/>
    <x v="2"/>
  </r>
  <r>
    <x v="5"/>
    <n v="2361341.12"/>
    <x v="3"/>
  </r>
  <r>
    <x v="6"/>
    <n v="97415941.840000004"/>
    <x v="4"/>
  </r>
  <r>
    <x v="7"/>
    <n v="5975771.5599999996"/>
    <x v="5"/>
  </r>
  <r>
    <x v="8"/>
    <n v="8654354.950000003"/>
    <x v="6"/>
  </r>
  <r>
    <x v="9"/>
    <n v="25107843.960000001"/>
    <x v="7"/>
  </r>
  <r>
    <x v="10"/>
    <n v="84243777.629999995"/>
    <x v="8"/>
  </r>
  <r>
    <x v="11"/>
    <n v="30679165.420000002"/>
    <x v="9"/>
  </r>
  <r>
    <x v="12"/>
    <n v="474178.14999999997"/>
    <x v="10"/>
  </r>
  <r>
    <x v="13"/>
    <n v="5438913.9299999978"/>
    <x v="1"/>
  </r>
  <r>
    <x v="14"/>
    <n v="37463150.299999997"/>
    <x v="11"/>
  </r>
  <r>
    <x v="15"/>
    <n v="924217.2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>
      <items count="13">
        <item x="0"/>
        <item x="3"/>
        <item x="10"/>
        <item x="7"/>
        <item x="2"/>
        <item x="1"/>
        <item x="9"/>
        <item x="5"/>
        <item x="11"/>
        <item x="6"/>
        <item x="4"/>
        <item x="8"/>
        <item t="default"/>
      </items>
    </pivotField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de gastos de Fevereiro/2026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ela2" displayName="Tabela2" ref="A1:K444" totalsRowShown="0">
  <autoFilter ref="A1:K444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 dataDxfId="1"/>
    <tableColumn id="11" name="Pago  (R$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2" name="Tabela12" displayName="Tabela12" ref="A1:C17" totalsRowShown="0">
  <autoFilter ref="A1:C17"/>
  <tableColumns count="3">
    <tableColumn id="1" name="Secretaria"/>
    <tableColumn id="2" name="total de gastos de Fevereiro/2026" dataCellStyle="Moeda">
      <calculatedColumnFormula>SUMIF(despesa_funcao!D:D,Tabela12[[#This Row],[Secretaria]],despesa_funcao!K:K)</calculatedColumnFormula>
    </tableColumn>
    <tableColumn id="3" name="total de itens pagos" dataDxfId="0">
      <calculatedColumnFormula>COUNTIF(despesa_funcao!D:D,Tabela12[[#This Row],[Secretaria]])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D1" sqref="D1:D1048576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N31" sqref="N31"/>
    </sheetView>
  </sheetViews>
  <sheetFormatPr defaultRowHeight="15" x14ac:dyDescent="0.25"/>
  <cols>
    <col min="1" max="1" width="57.42578125" bestFit="1" customWidth="1"/>
    <col min="2" max="2" width="39.42578125" bestFit="1" customWidth="1"/>
  </cols>
  <sheetData>
    <row r="1" spans="1:2" x14ac:dyDescent="0.25">
      <c r="A1" s="4" t="s">
        <v>566</v>
      </c>
      <c r="B1" t="s">
        <v>565</v>
      </c>
    </row>
    <row r="2" spans="1:2" x14ac:dyDescent="0.25">
      <c r="A2" s="5" t="s">
        <v>12</v>
      </c>
      <c r="B2" s="3">
        <v>67673.06</v>
      </c>
    </row>
    <row r="3" spans="1:2" x14ac:dyDescent="0.25">
      <c r="A3" s="5" t="s">
        <v>464</v>
      </c>
      <c r="B3" s="3">
        <v>474178.14999999997</v>
      </c>
    </row>
    <row r="4" spans="1:2" x14ac:dyDescent="0.25">
      <c r="A4" s="5" t="s">
        <v>548</v>
      </c>
      <c r="B4" s="3">
        <v>924217.23</v>
      </c>
    </row>
    <row r="5" spans="1:2" x14ac:dyDescent="0.25">
      <c r="A5" s="5" t="s">
        <v>52</v>
      </c>
      <c r="B5" s="3">
        <v>1182770.0299999998</v>
      </c>
    </row>
    <row r="6" spans="1:2" x14ac:dyDescent="0.25">
      <c r="A6" s="5" t="s">
        <v>92</v>
      </c>
      <c r="B6" s="3">
        <v>1644914.53</v>
      </c>
    </row>
    <row r="7" spans="1:2" x14ac:dyDescent="0.25">
      <c r="A7" s="5" t="s">
        <v>115</v>
      </c>
      <c r="B7" s="3">
        <v>2361341.12</v>
      </c>
    </row>
    <row r="8" spans="1:2" x14ac:dyDescent="0.25">
      <c r="A8" s="5" t="s">
        <v>18</v>
      </c>
      <c r="B8" s="3">
        <v>3049447.7499999995</v>
      </c>
    </row>
    <row r="9" spans="1:2" x14ac:dyDescent="0.25">
      <c r="A9" s="5" t="s">
        <v>486</v>
      </c>
      <c r="B9" s="3">
        <v>5438913.9299999978</v>
      </c>
    </row>
    <row r="10" spans="1:2" x14ac:dyDescent="0.25">
      <c r="A10" s="5" t="s">
        <v>236</v>
      </c>
      <c r="B10" s="3">
        <v>5975771.5599999996</v>
      </c>
    </row>
    <row r="11" spans="1:2" x14ac:dyDescent="0.25">
      <c r="A11" s="5" t="s">
        <v>262</v>
      </c>
      <c r="B11" s="3">
        <v>8654354.950000003</v>
      </c>
    </row>
    <row r="12" spans="1:2" x14ac:dyDescent="0.25">
      <c r="A12" s="5" t="s">
        <v>74</v>
      </c>
      <c r="B12" s="3">
        <v>8665883.370000001</v>
      </c>
    </row>
    <row r="13" spans="1:2" x14ac:dyDescent="0.25">
      <c r="A13" s="5" t="s">
        <v>291</v>
      </c>
      <c r="B13" s="3">
        <v>25107843.960000001</v>
      </c>
    </row>
    <row r="14" spans="1:2" x14ac:dyDescent="0.25">
      <c r="A14" s="5" t="s">
        <v>438</v>
      </c>
      <c r="B14" s="3">
        <v>30679165.420000002</v>
      </c>
    </row>
    <row r="15" spans="1:2" x14ac:dyDescent="0.25">
      <c r="A15" s="5" t="s">
        <v>510</v>
      </c>
      <c r="B15" s="3">
        <v>37463150.299999997</v>
      </c>
    </row>
    <row r="16" spans="1:2" x14ac:dyDescent="0.25">
      <c r="A16" s="5" t="s">
        <v>310</v>
      </c>
      <c r="B16" s="3">
        <v>84243777.629999995</v>
      </c>
    </row>
    <row r="17" spans="1:2" x14ac:dyDescent="0.25">
      <c r="A17" s="5" t="s">
        <v>131</v>
      </c>
      <c r="B17" s="3">
        <v>97415941.840000004</v>
      </c>
    </row>
    <row r="18" spans="1:2" x14ac:dyDescent="0.25">
      <c r="A18" s="5" t="s">
        <v>567</v>
      </c>
      <c r="B18" s="3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3" sqref="C3"/>
    </sheetView>
  </sheetViews>
  <sheetFormatPr defaultRowHeight="15" x14ac:dyDescent="0.25"/>
  <cols>
    <col min="1" max="1" width="57.42578125" bestFit="1" customWidth="1"/>
    <col min="2" max="2" width="32.5703125" style="2" customWidth="1"/>
    <col min="3" max="3" width="20.42578125" customWidth="1"/>
  </cols>
  <sheetData>
    <row r="1" spans="1:3" x14ac:dyDescent="0.25">
      <c r="A1" t="s">
        <v>3</v>
      </c>
      <c r="B1" s="2" t="s">
        <v>563</v>
      </c>
      <c r="C1" t="s">
        <v>564</v>
      </c>
    </row>
    <row r="2" spans="1:3" x14ac:dyDescent="0.25">
      <c r="A2" t="s">
        <v>12</v>
      </c>
      <c r="B2" s="2">
        <f>SUMIF(despesa_funcao!D:D,Tabela12[[#This Row],[Secretaria]],despesa_funcao!K:K)</f>
        <v>67673.06</v>
      </c>
      <c r="C2">
        <f>COUNTIF(despesa_funcao!D:D,Tabela12[[#This Row],[Secretaria]])</f>
        <v>1</v>
      </c>
    </row>
    <row r="3" spans="1:3" x14ac:dyDescent="0.25">
      <c r="A3" t="s">
        <v>18</v>
      </c>
      <c r="B3" s="2">
        <f>SUMIF(despesa_funcao!D:D,Tabela12[[#This Row],[Secretaria]],despesa_funcao!K:K)</f>
        <v>3049447.7499999995</v>
      </c>
      <c r="C3">
        <f>COUNTIF(despesa_funcao!D:D,Tabela12[[#This Row],[Secretaria]])</f>
        <v>21</v>
      </c>
    </row>
    <row r="4" spans="1:3" x14ac:dyDescent="0.25">
      <c r="A4" t="s">
        <v>52</v>
      </c>
      <c r="B4" s="2">
        <f>SUMIF(despesa_funcao!D:D,Tabela12[[#This Row],[Secretaria]],despesa_funcao!K:K)</f>
        <v>1182770.0299999998</v>
      </c>
      <c r="C4">
        <f>COUNTIF(despesa_funcao!D:D,Tabela12[[#This Row],[Secretaria]])</f>
        <v>16</v>
      </c>
    </row>
    <row r="5" spans="1:3" x14ac:dyDescent="0.25">
      <c r="A5" t="s">
        <v>74</v>
      </c>
      <c r="B5" s="2">
        <f>SUMIF(despesa_funcao!D:D,Tabela12[[#This Row],[Secretaria]],despesa_funcao!K:K)</f>
        <v>8665883.370000001</v>
      </c>
      <c r="C5">
        <f>COUNTIF(despesa_funcao!D:D,Tabela12[[#This Row],[Secretaria]])</f>
        <v>16</v>
      </c>
    </row>
    <row r="6" spans="1:3" x14ac:dyDescent="0.25">
      <c r="A6" t="s">
        <v>92</v>
      </c>
      <c r="B6" s="2">
        <f>SUMIF(despesa_funcao!D:D,Tabela12[[#This Row],[Secretaria]],despesa_funcao!K:K)</f>
        <v>1644914.53</v>
      </c>
      <c r="C6">
        <f>COUNTIF(despesa_funcao!D:D,Tabela12[[#This Row],[Secretaria]])</f>
        <v>16</v>
      </c>
    </row>
    <row r="7" spans="1:3" x14ac:dyDescent="0.25">
      <c r="A7" t="s">
        <v>115</v>
      </c>
      <c r="B7" s="2">
        <f>SUMIF(despesa_funcao!D:D,Tabela12[[#This Row],[Secretaria]],despesa_funcao!K:K)</f>
        <v>2361341.12</v>
      </c>
      <c r="C7">
        <f>COUNTIF(despesa_funcao!D:D,Tabela12[[#This Row],[Secretaria]])</f>
        <v>13</v>
      </c>
    </row>
    <row r="8" spans="1:3" x14ac:dyDescent="0.25">
      <c r="A8" t="s">
        <v>131</v>
      </c>
      <c r="B8" s="2">
        <f>SUMIF(despesa_funcao!D:D,Tabela12[[#This Row],[Secretaria]],despesa_funcao!K:K)</f>
        <v>97415941.840000004</v>
      </c>
      <c r="C8">
        <f>COUNTIF(despesa_funcao!D:D,Tabela12[[#This Row],[Secretaria]])</f>
        <v>88</v>
      </c>
    </row>
    <row r="9" spans="1:3" x14ac:dyDescent="0.25">
      <c r="A9" t="s">
        <v>236</v>
      </c>
      <c r="B9" s="2">
        <f>SUMIF(despesa_funcao!D:D,Tabela12[[#This Row],[Secretaria]],despesa_funcao!K:K)</f>
        <v>5975771.5599999996</v>
      </c>
      <c r="C9">
        <f>COUNTIF(despesa_funcao!D:D,Tabela12[[#This Row],[Secretaria]])</f>
        <v>23</v>
      </c>
    </row>
    <row r="10" spans="1:3" x14ac:dyDescent="0.25">
      <c r="A10" t="s">
        <v>262</v>
      </c>
      <c r="B10" s="2">
        <f>SUMIF(despesa_funcao!D:D,Tabela12[[#This Row],[Secretaria]],despesa_funcao!K:K)</f>
        <v>8654354.950000003</v>
      </c>
      <c r="C10">
        <f>COUNTIF(despesa_funcao!D:D,Tabela12[[#This Row],[Secretaria]])</f>
        <v>25</v>
      </c>
    </row>
    <row r="11" spans="1:3" x14ac:dyDescent="0.25">
      <c r="A11" t="s">
        <v>291</v>
      </c>
      <c r="B11" s="2">
        <f>SUMIF(despesa_funcao!D:D,Tabela12[[#This Row],[Secretaria]],despesa_funcao!K:K)</f>
        <v>25107843.960000001</v>
      </c>
      <c r="C11">
        <f>COUNTIF(despesa_funcao!D:D,Tabela12[[#This Row],[Secretaria]])</f>
        <v>15</v>
      </c>
    </row>
    <row r="12" spans="1:3" x14ac:dyDescent="0.25">
      <c r="A12" t="s">
        <v>310</v>
      </c>
      <c r="B12" s="2">
        <f>SUMIF(despesa_funcao!D:D,Tabela12[[#This Row],[Secretaria]],despesa_funcao!K:K)</f>
        <v>84243777.629999995</v>
      </c>
      <c r="C12">
        <f>COUNTIF(despesa_funcao!D:D,Tabela12[[#This Row],[Secretaria]])</f>
        <v>115</v>
      </c>
    </row>
    <row r="13" spans="1:3" x14ac:dyDescent="0.25">
      <c r="A13" t="s">
        <v>438</v>
      </c>
      <c r="B13" s="2">
        <f>SUMIF(despesa_funcao!D:D,Tabela12[[#This Row],[Secretaria]],despesa_funcao!K:K)</f>
        <v>30679165.420000002</v>
      </c>
      <c r="C13">
        <f>COUNTIF(despesa_funcao!D:D,Tabela12[[#This Row],[Secretaria]])</f>
        <v>22</v>
      </c>
    </row>
    <row r="14" spans="1:3" x14ac:dyDescent="0.25">
      <c r="A14" t="s">
        <v>464</v>
      </c>
      <c r="B14" s="2">
        <f>SUMIF(despesa_funcao!D:D,Tabela12[[#This Row],[Secretaria]],despesa_funcao!K:K)</f>
        <v>474178.14999999997</v>
      </c>
      <c r="C14">
        <f>COUNTIF(despesa_funcao!D:D,Tabela12[[#This Row],[Secretaria]])</f>
        <v>14</v>
      </c>
    </row>
    <row r="15" spans="1:3" x14ac:dyDescent="0.25">
      <c r="A15" t="s">
        <v>486</v>
      </c>
      <c r="B15" s="2">
        <f>SUMIF(despesa_funcao!D:D,Tabela12[[#This Row],[Secretaria]],despesa_funcao!K:K)</f>
        <v>5438913.9299999978</v>
      </c>
      <c r="C15">
        <f>COUNTIF(despesa_funcao!D:D,Tabela12[[#This Row],[Secretaria]])</f>
        <v>21</v>
      </c>
    </row>
    <row r="16" spans="1:3" x14ac:dyDescent="0.25">
      <c r="A16" t="s">
        <v>510</v>
      </c>
      <c r="B16" s="2">
        <f>SUMIF(despesa_funcao!D:D,Tabela12[[#This Row],[Secretaria]],despesa_funcao!K:K)</f>
        <v>37463150.299999997</v>
      </c>
      <c r="C16">
        <f>COUNTIF(despesa_funcao!D:D,Tabela12[[#This Row],[Secretaria]])</f>
        <v>24</v>
      </c>
    </row>
    <row r="17" spans="1:3" x14ac:dyDescent="0.25">
      <c r="A17" t="s">
        <v>548</v>
      </c>
      <c r="B17" s="2">
        <f>SUMIF(despesa_funcao!D:D,Tabela12[[#This Row],[Secretaria]],despesa_funcao!K:K)</f>
        <v>924217.23</v>
      </c>
      <c r="C17">
        <f>COUNTIF(despesa_funcao!D:D,Tabela12[[#This Row],[Secretaria]])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2026-03-13T01:36:56Z</dcterms:created>
  <dcterms:modified xsi:type="dcterms:W3CDTF">2026-03-13T01:36:56Z</dcterms:modified>
</cp:coreProperties>
</file>